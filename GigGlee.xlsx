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2a28c686e282d6/Documents/Amelie/"/>
    </mc:Choice>
  </mc:AlternateContent>
  <xr:revisionPtr revIDLastSave="132" documentId="8_{34CF176F-B9B0-4937-83B9-E7DCCF9D2801}" xr6:coauthVersionLast="47" xr6:coauthVersionMax="47" xr10:uidLastSave="{6A781711-B8A5-41FB-AD75-30F71B84D3F9}"/>
  <bookViews>
    <workbookView xWindow="-120" yWindow="-120" windowWidth="29040" windowHeight="15720" xr2:uid="{BE703689-EC54-4489-A4F4-886C4B8B8335}"/>
  </bookViews>
  <sheets>
    <sheet name="Goal Track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8" i="1" l="1"/>
  <c r="D17" i="1"/>
  <c r="D16" i="1"/>
  <c r="D15" i="1"/>
  <c r="E15" i="1" s="1"/>
  <c r="F15" i="1" s="1"/>
  <c r="D14" i="1"/>
  <c r="E14" i="1" s="1"/>
  <c r="F14" i="1" s="1"/>
  <c r="D13" i="1"/>
  <c r="E13" i="1" s="1"/>
  <c r="F13" i="1" s="1"/>
  <c r="D11" i="1"/>
  <c r="E11" i="1" s="1"/>
  <c r="F11" i="1" s="1"/>
  <c r="D12" i="1"/>
  <c r="E12" i="1" s="1"/>
  <c r="F12" i="1" s="1"/>
  <c r="D10" i="1"/>
  <c r="O10" i="1"/>
  <c r="K10" i="1"/>
  <c r="E18" i="1" l="1"/>
  <c r="F18" i="1" s="1"/>
  <c r="E16" i="1"/>
  <c r="F16" i="1" s="1"/>
  <c r="E17" i="1"/>
  <c r="F17" i="1" s="1"/>
  <c r="E10" i="1"/>
  <c r="F10" i="1" s="1"/>
  <c r="H10" i="1" s="1"/>
  <c r="I10" i="1" s="1"/>
  <c r="G11" i="1" s="1"/>
  <c r="H11" i="1" s="1"/>
  <c r="J10" i="1" l="1"/>
  <c r="L10" i="1" s="1"/>
  <c r="M10" i="1" s="1"/>
  <c r="K11" i="1" s="1"/>
  <c r="J11" i="1"/>
  <c r="I11" i="1"/>
  <c r="L11" i="1" l="1"/>
  <c r="N10" i="1"/>
  <c r="P10" i="1" s="1"/>
  <c r="Q10" i="1" s="1"/>
  <c r="O11" i="1" s="1"/>
  <c r="G12" i="1"/>
  <c r="H12" i="1" s="1"/>
  <c r="R10" i="1" l="1"/>
  <c r="N11" i="1"/>
  <c r="P11" i="1" s="1"/>
  <c r="I12" i="1"/>
  <c r="G13" i="1" s="1"/>
  <c r="H13" i="1" s="1"/>
  <c r="J12" i="1"/>
  <c r="M11" i="1"/>
  <c r="K12" i="1" s="1"/>
  <c r="J13" i="1" l="1"/>
  <c r="I13" i="1"/>
  <c r="G14" i="1" s="1"/>
  <c r="H14" i="1" s="1"/>
  <c r="T10" i="1"/>
  <c r="S10" i="1"/>
  <c r="R11" i="1"/>
  <c r="L12" i="1"/>
  <c r="Q11" i="1"/>
  <c r="O12" i="1" s="1"/>
  <c r="I14" i="1" l="1"/>
  <c r="G15" i="1" s="1"/>
  <c r="H15" i="1" s="1"/>
  <c r="J14" i="1"/>
  <c r="T11" i="1"/>
  <c r="S11" i="1"/>
  <c r="N12" i="1"/>
  <c r="P12" i="1" s="1"/>
  <c r="M12" i="1"/>
  <c r="K13" i="1" s="1"/>
  <c r="L13" i="1" s="1"/>
  <c r="N13" i="1" s="1"/>
  <c r="M13" i="1" l="1"/>
  <c r="K14" i="1" s="1"/>
  <c r="L14" i="1" s="1"/>
  <c r="M14" i="1" s="1"/>
  <c r="K15" i="1" s="1"/>
  <c r="I15" i="1"/>
  <c r="G16" i="1" s="1"/>
  <c r="H16" i="1" s="1"/>
  <c r="J15" i="1"/>
  <c r="R12" i="1"/>
  <c r="Q12" i="1"/>
  <c r="O13" i="1" s="1"/>
  <c r="P13" i="1" s="1"/>
  <c r="Q13" i="1" s="1"/>
  <c r="O14" i="1" s="1"/>
  <c r="L15" i="1" l="1"/>
  <c r="M15" i="1" s="1"/>
  <c r="K16" i="1" s="1"/>
  <c r="R13" i="1"/>
  <c r="J16" i="1"/>
  <c r="I16" i="1"/>
  <c r="G17" i="1" s="1"/>
  <c r="H17" i="1" s="1"/>
  <c r="T12" i="1"/>
  <c r="S12" i="1"/>
  <c r="N14" i="1"/>
  <c r="N15" i="1" l="1"/>
  <c r="L16" i="1"/>
  <c r="M16" i="1" s="1"/>
  <c r="K17" i="1" s="1"/>
  <c r="J17" i="1"/>
  <c r="I17" i="1"/>
  <c r="G18" i="1" s="1"/>
  <c r="H18" i="1" s="1"/>
  <c r="T13" i="1"/>
  <c r="S13" i="1"/>
  <c r="P14" i="1"/>
  <c r="Q14" i="1" s="1"/>
  <c r="O15" i="1" s="1"/>
  <c r="P15" i="1" l="1"/>
  <c r="R15" i="1" s="1"/>
  <c r="S15" i="1" s="1"/>
  <c r="L17" i="1"/>
  <c r="M17" i="1" s="1"/>
  <c r="K18" i="1" s="1"/>
  <c r="N16" i="1"/>
  <c r="R14" i="1"/>
  <c r="J18" i="1"/>
  <c r="I18" i="1"/>
  <c r="Q15" i="1" l="1"/>
  <c r="O16" i="1" s="1"/>
  <c r="P16" i="1" s="1"/>
  <c r="R16" i="1" s="1"/>
  <c r="T15" i="1"/>
  <c r="N17" i="1"/>
  <c r="T14" i="1"/>
  <c r="S14" i="1"/>
  <c r="L18" i="1"/>
  <c r="Q16" i="1" l="1"/>
  <c r="O17" i="1" s="1"/>
  <c r="P17" i="1" s="1"/>
  <c r="Q17" i="1" s="1"/>
  <c r="O18" i="1" s="1"/>
  <c r="T16" i="1"/>
  <c r="S16" i="1"/>
  <c r="N18" i="1"/>
  <c r="M18" i="1"/>
  <c r="P18" i="1" l="1"/>
  <c r="R18" i="1" s="1"/>
  <c r="S18" i="1" s="1"/>
  <c r="R17" i="1"/>
  <c r="T17" i="1" l="1"/>
  <c r="S17" i="1"/>
  <c r="Q18" i="1"/>
  <c r="T18" i="1"/>
</calcChain>
</file>

<file path=xl/sharedStrings.xml><?xml version="1.0" encoding="utf-8"?>
<sst xmlns="http://schemas.openxmlformats.org/spreadsheetml/2006/main" count="37" uniqueCount="32">
  <si>
    <t>Tax Rate</t>
  </si>
  <si>
    <t>Remaining</t>
  </si>
  <si>
    <t>Gig 1</t>
  </si>
  <si>
    <t>Check</t>
  </si>
  <si>
    <t>Tax Reserve</t>
  </si>
  <si>
    <t>Gig 2</t>
  </si>
  <si>
    <t>Reserve to Monthly Bill</t>
  </si>
  <si>
    <t>Beginning Balance</t>
  </si>
  <si>
    <t>Ending Balance</t>
  </si>
  <si>
    <t>Reserve to Goal 1</t>
  </si>
  <si>
    <t>Goal 1</t>
  </si>
  <si>
    <t>Goal 2</t>
  </si>
  <si>
    <t>Reserve to Goal 2</t>
  </si>
  <si>
    <t>Monthly Bill Total Savings</t>
  </si>
  <si>
    <t>Goal 1 total Savings</t>
  </si>
  <si>
    <t>Gig Expense</t>
  </si>
  <si>
    <t>Gig Income</t>
  </si>
  <si>
    <t>Gig Net Income</t>
  </si>
  <si>
    <t>Gig 3</t>
  </si>
  <si>
    <t>Gig 4</t>
  </si>
  <si>
    <t>Gig 5</t>
  </si>
  <si>
    <t>Gig 6</t>
  </si>
  <si>
    <t>Gig 7</t>
  </si>
  <si>
    <t>Gig 8</t>
  </si>
  <si>
    <t>Gig 9</t>
  </si>
  <si>
    <t>(20%, 40%, 60%)</t>
  </si>
  <si>
    <t>SAFE to SPEND</t>
  </si>
  <si>
    <t>MONTHLY BILL</t>
  </si>
  <si>
    <t>GOAL 1</t>
  </si>
  <si>
    <t>GOAL 2</t>
  </si>
  <si>
    <t>Saving % for goals</t>
  </si>
  <si>
    <t>Monthly Bills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</si>
</sst>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Times New Roman"/>
      <family val="1"/>
    </font>
    <font>
      <i/>
      <sz val="11"/>
      <color rgb="FFFF0000"/>
      <name val="Times New Roman"/>
      <family val="1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0" applyFont="1" applyFill="1"/>
    <xf numFmtId="9" fontId="3" fillId="2" borderId="0" xfId="0" applyNumberFormat="1" applyFont="1" applyFill="1" applyAlignment="1">
      <alignment horizontal="center"/>
    </xf>
    <xf numFmtId="9" fontId="4" fillId="0" borderId="0" xfId="1" applyFont="1" applyFill="1" applyAlignment="1">
      <alignment horizontal="left"/>
    </xf>
    <xf numFmtId="9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165" fontId="3" fillId="2" borderId="0" xfId="0" applyNumberFormat="1" applyFont="1" applyFill="1" applyAlignment="1">
      <alignment horizontal="center"/>
    </xf>
    <xf numFmtId="165" fontId="3" fillId="0" borderId="0" xfId="0" applyNumberFormat="1" applyFont="1" applyFill="1" applyAlignment="1">
      <alignment horizontal="center"/>
    </xf>
    <xf numFmtId="9" fontId="3" fillId="2" borderId="0" xfId="1" applyFont="1" applyFill="1" applyAlignment="1">
      <alignment horizontal="center"/>
    </xf>
    <xf numFmtId="9" fontId="4" fillId="0" borderId="0" xfId="1" applyFont="1" applyFill="1" applyAlignment="1">
      <alignment horizontal="left"/>
    </xf>
    <xf numFmtId="0" fontId="5" fillId="0" borderId="0" xfId="0" applyFont="1" applyFill="1" applyAlignment="1">
      <alignment horizontal="center"/>
    </xf>
    <xf numFmtId="0" fontId="5" fillId="0" borderId="2" xfId="0" applyFont="1" applyFill="1" applyBorder="1" applyAlignment="1">
      <alignment horizontal="center"/>
    </xf>
    <xf numFmtId="14" fontId="3" fillId="0" borderId="0" xfId="0" applyNumberFormat="1" applyFont="1" applyFill="1" applyAlignment="1">
      <alignment horizontal="center" vertical="center" wrapText="1"/>
    </xf>
    <xf numFmtId="0" fontId="3" fillId="0" borderId="4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0" xfId="0" applyFont="1" applyFill="1" applyBorder="1"/>
    <xf numFmtId="0" fontId="5" fillId="0" borderId="5" xfId="0" applyFont="1" applyFill="1" applyBorder="1" applyAlignment="1">
      <alignment horizontal="center"/>
    </xf>
    <xf numFmtId="165" fontId="3" fillId="0" borderId="4" xfId="0" applyNumberFormat="1" applyFont="1" applyFill="1" applyBorder="1" applyAlignment="1">
      <alignment horizontal="center"/>
    </xf>
    <xf numFmtId="165" fontId="3" fillId="0" borderId="0" xfId="0" applyNumberFormat="1" applyFont="1" applyFill="1" applyBorder="1"/>
    <xf numFmtId="165" fontId="5" fillId="0" borderId="5" xfId="0" applyNumberFormat="1" applyFont="1" applyFill="1" applyBorder="1" applyAlignment="1">
      <alignment horizontal="center"/>
    </xf>
    <xf numFmtId="165" fontId="3" fillId="2" borderId="4" xfId="0" applyNumberFormat="1" applyFont="1" applyFill="1" applyBorder="1" applyAlignment="1">
      <alignment horizontal="center"/>
    </xf>
    <xf numFmtId="165" fontId="3" fillId="2" borderId="0" xfId="0" applyNumberFormat="1" applyFont="1" applyFill="1" applyBorder="1" applyAlignment="1">
      <alignment horizontal="center"/>
    </xf>
    <xf numFmtId="165" fontId="3" fillId="0" borderId="5" xfId="0" applyNumberFormat="1" applyFont="1" applyFill="1" applyBorder="1" applyAlignment="1">
      <alignment horizontal="center"/>
    </xf>
    <xf numFmtId="165" fontId="3" fillId="3" borderId="0" xfId="0" applyNumberFormat="1" applyFont="1" applyFill="1" applyAlignment="1">
      <alignment horizontal="center"/>
    </xf>
    <xf numFmtId="0" fontId="5" fillId="0" borderId="0" xfId="0" applyFont="1" applyFill="1"/>
    <xf numFmtId="14" fontId="3" fillId="4" borderId="3" xfId="0" applyNumberFormat="1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vertical="center" wrapText="1"/>
    </xf>
    <xf numFmtId="14" fontId="3" fillId="4" borderId="6" xfId="0" applyNumberFormat="1" applyFont="1" applyFill="1" applyBorder="1" applyAlignment="1">
      <alignment horizontal="center" vertical="center" wrapText="1"/>
    </xf>
    <xf numFmtId="14" fontId="5" fillId="4" borderId="6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64D63-E0C0-41ED-94C6-A78CD132837F}">
  <dimension ref="A1:U18"/>
  <sheetViews>
    <sheetView showGridLines="0" tabSelected="1" zoomScaleNormal="100" workbookViewId="0">
      <selection activeCell="C17" sqref="C17"/>
    </sheetView>
  </sheetViews>
  <sheetFormatPr defaultRowHeight="15" x14ac:dyDescent="0.25"/>
  <cols>
    <col min="1" max="1" width="17.5703125" style="1" bestFit="1" customWidth="1"/>
    <col min="2" max="2" width="10" style="5" bestFit="1" customWidth="1"/>
    <col min="3" max="4" width="9.140625" style="5" customWidth="1"/>
    <col min="5" max="5" width="11.140625" style="5" bestFit="1" customWidth="1"/>
    <col min="6" max="6" width="10.42578125" style="5" bestFit="1" customWidth="1"/>
    <col min="7" max="7" width="9.7109375" style="5" bestFit="1" customWidth="1"/>
    <col min="8" max="8" width="11.28515625" style="1" bestFit="1" customWidth="1"/>
    <col min="9" max="9" width="14.7109375" style="1" bestFit="1" customWidth="1"/>
    <col min="10" max="10" width="11.85546875" style="6" customWidth="1"/>
    <col min="11" max="11" width="9.7109375" style="1" bestFit="1" customWidth="1"/>
    <col min="12" max="12" width="14.5703125" style="1" bestFit="1" customWidth="1"/>
    <col min="13" max="13" width="14.7109375" style="1" bestFit="1" customWidth="1"/>
    <col min="14" max="14" width="12.28515625" style="1" customWidth="1"/>
    <col min="15" max="15" width="9.7109375" style="1" customWidth="1"/>
    <col min="16" max="16" width="14.5703125" style="1" customWidth="1"/>
    <col min="17" max="17" width="14.7109375" style="1" customWidth="1"/>
    <col min="18" max="18" width="11.28515625" style="1" customWidth="1"/>
    <col min="19" max="19" width="16.5703125" style="5" bestFit="1" customWidth="1"/>
    <col min="20" max="21" width="9.140625" style="5"/>
    <col min="22" max="16384" width="9.140625" style="1"/>
  </cols>
  <sheetData>
    <row r="1" spans="1:21" x14ac:dyDescent="0.25">
      <c r="A1" s="26" t="s">
        <v>0</v>
      </c>
      <c r="B1" s="2">
        <v>0.25</v>
      </c>
      <c r="C1" s="3">
        <v>1</v>
      </c>
      <c r="D1" s="4"/>
    </row>
    <row r="2" spans="1:21" x14ac:dyDescent="0.25">
      <c r="A2" s="26" t="s">
        <v>31</v>
      </c>
      <c r="B2" s="7">
        <v>2500</v>
      </c>
      <c r="C2" s="3">
        <v>1</v>
      </c>
      <c r="D2" s="8"/>
    </row>
    <row r="3" spans="1:21" x14ac:dyDescent="0.25">
      <c r="A3" s="26" t="s">
        <v>10</v>
      </c>
      <c r="B3" s="7">
        <v>500</v>
      </c>
      <c r="C3" s="3"/>
      <c r="D3" s="8"/>
    </row>
    <row r="4" spans="1:21" x14ac:dyDescent="0.25">
      <c r="A4" s="26" t="s">
        <v>11</v>
      </c>
      <c r="B4" s="7">
        <v>750</v>
      </c>
      <c r="C4" s="3"/>
      <c r="D4" s="8"/>
    </row>
    <row r="5" spans="1:21" x14ac:dyDescent="0.25">
      <c r="A5" s="26" t="s">
        <v>30</v>
      </c>
      <c r="B5" s="9">
        <v>0.6</v>
      </c>
      <c r="C5" s="10" t="s">
        <v>25</v>
      </c>
      <c r="D5" s="10"/>
      <c r="E5" s="10"/>
    </row>
    <row r="6" spans="1:21" x14ac:dyDescent="0.25">
      <c r="A6" s="26"/>
      <c r="B6" s="8"/>
      <c r="C6" s="8"/>
      <c r="D6" s="8"/>
    </row>
    <row r="7" spans="1:21" s="26" customFormat="1" ht="24.75" customHeight="1" x14ac:dyDescent="0.2">
      <c r="B7" s="6"/>
      <c r="C7" s="6"/>
      <c r="D7" s="6"/>
      <c r="E7" s="6"/>
      <c r="F7" s="6"/>
      <c r="G7" s="11" t="s">
        <v>27</v>
      </c>
      <c r="H7" s="11"/>
      <c r="I7" s="11"/>
      <c r="J7" s="11"/>
      <c r="K7" s="11" t="s">
        <v>28</v>
      </c>
      <c r="L7" s="11"/>
      <c r="M7" s="11"/>
      <c r="N7" s="11"/>
      <c r="O7" s="12" t="s">
        <v>29</v>
      </c>
      <c r="P7" s="12"/>
      <c r="Q7" s="12"/>
      <c r="R7" s="12"/>
      <c r="S7" s="6" t="s">
        <v>26</v>
      </c>
      <c r="T7" s="6" t="s">
        <v>3</v>
      </c>
      <c r="U7" s="6"/>
    </row>
    <row r="8" spans="1:21" s="13" customFormat="1" ht="30" x14ac:dyDescent="0.25">
      <c r="B8" s="27" t="s">
        <v>16</v>
      </c>
      <c r="C8" s="28" t="s">
        <v>15</v>
      </c>
      <c r="D8" s="29" t="s">
        <v>17</v>
      </c>
      <c r="E8" s="27" t="s">
        <v>4</v>
      </c>
      <c r="F8" s="29" t="s">
        <v>1</v>
      </c>
      <c r="G8" s="27" t="s">
        <v>7</v>
      </c>
      <c r="H8" s="28" t="s">
        <v>6</v>
      </c>
      <c r="I8" s="28" t="s">
        <v>13</v>
      </c>
      <c r="J8" s="30" t="s">
        <v>1</v>
      </c>
      <c r="K8" s="27" t="s">
        <v>7</v>
      </c>
      <c r="L8" s="28" t="s">
        <v>9</v>
      </c>
      <c r="M8" s="28" t="s">
        <v>14</v>
      </c>
      <c r="N8" s="30" t="s">
        <v>1</v>
      </c>
      <c r="O8" s="27" t="s">
        <v>7</v>
      </c>
      <c r="P8" s="28" t="s">
        <v>12</v>
      </c>
      <c r="Q8" s="28" t="s">
        <v>8</v>
      </c>
      <c r="R8" s="30" t="s">
        <v>1</v>
      </c>
    </row>
    <row r="9" spans="1:21" x14ac:dyDescent="0.25">
      <c r="B9" s="14"/>
      <c r="C9" s="15"/>
      <c r="D9" s="16"/>
      <c r="E9" s="14"/>
      <c r="F9" s="16"/>
      <c r="G9" s="14"/>
      <c r="H9" s="17">
        <v>0</v>
      </c>
      <c r="I9" s="17"/>
      <c r="J9" s="18"/>
      <c r="K9" s="14"/>
      <c r="L9" s="17">
        <v>0</v>
      </c>
      <c r="M9" s="17"/>
      <c r="N9" s="18"/>
      <c r="O9" s="19"/>
      <c r="P9" s="20">
        <v>0</v>
      </c>
      <c r="Q9" s="20"/>
      <c r="R9" s="21"/>
    </row>
    <row r="10" spans="1:21" x14ac:dyDescent="0.25">
      <c r="A10" s="1" t="s">
        <v>2</v>
      </c>
      <c r="B10" s="22">
        <v>500</v>
      </c>
      <c r="C10" s="23">
        <v>100</v>
      </c>
      <c r="D10" s="24">
        <f>B10-C10</f>
        <v>400</v>
      </c>
      <c r="E10" s="19">
        <f>D10*B1</f>
        <v>100</v>
      </c>
      <c r="F10" s="24">
        <f>D10-E10</f>
        <v>300</v>
      </c>
      <c r="G10" s="19">
        <v>0</v>
      </c>
      <c r="H10" s="20">
        <f>MIN(F10,MAX(0,$B$2-G10))</f>
        <v>300</v>
      </c>
      <c r="I10" s="20">
        <f>H10</f>
        <v>300</v>
      </c>
      <c r="J10" s="21">
        <f>F10-H10</f>
        <v>0</v>
      </c>
      <c r="K10" s="19">
        <f>0</f>
        <v>0</v>
      </c>
      <c r="L10" s="20">
        <f>MIN(MAX(0,J10)*$B$5,MAX(0,$B$3-K10))</f>
        <v>0</v>
      </c>
      <c r="M10" s="20">
        <f>K10+L10</f>
        <v>0</v>
      </c>
      <c r="N10" s="21">
        <f>J10-L10</f>
        <v>0</v>
      </c>
      <c r="O10" s="19">
        <f>0</f>
        <v>0</v>
      </c>
      <c r="P10" s="20">
        <f>MIN(MAX(0,N10)*$B$5,MAX(0,$B$4-O10))</f>
        <v>0</v>
      </c>
      <c r="Q10" s="20">
        <f>O10+P10</f>
        <v>0</v>
      </c>
      <c r="R10" s="21">
        <f>N10-P10</f>
        <v>0</v>
      </c>
      <c r="S10" s="25">
        <f>R10</f>
        <v>0</v>
      </c>
      <c r="T10" s="8">
        <f>D10-E10-H10-L10-P10-R10</f>
        <v>0</v>
      </c>
    </row>
    <row r="11" spans="1:21" x14ac:dyDescent="0.25">
      <c r="A11" s="1" t="s">
        <v>5</v>
      </c>
      <c r="B11" s="22">
        <v>1500</v>
      </c>
      <c r="C11" s="23">
        <v>250</v>
      </c>
      <c r="D11" s="24">
        <f t="shared" ref="D11:D12" si="0">B11-C11</f>
        <v>1250</v>
      </c>
      <c r="E11" s="19">
        <f>D11*$B$1</f>
        <v>312.5</v>
      </c>
      <c r="F11" s="24">
        <f t="shared" ref="F11:F12" si="1">D11-E11</f>
        <v>937.5</v>
      </c>
      <c r="G11" s="19">
        <f>I10</f>
        <v>300</v>
      </c>
      <c r="H11" s="20">
        <f>MIN(F11,MAX(0,$B$2-G11))</f>
        <v>937.5</v>
      </c>
      <c r="I11" s="20">
        <f>H11+I10</f>
        <v>1237.5</v>
      </c>
      <c r="J11" s="21">
        <f>F11-H11</f>
        <v>0</v>
      </c>
      <c r="K11" s="19">
        <f>M10</f>
        <v>0</v>
      </c>
      <c r="L11" s="20">
        <f t="shared" ref="L11:L12" si="2">MIN(MAX(0,J11)*$B$5,MAX(0,$B$3-K11))</f>
        <v>0</v>
      </c>
      <c r="M11" s="20">
        <f>K11+L11</f>
        <v>0</v>
      </c>
      <c r="N11" s="21">
        <f>J11-L11</f>
        <v>0</v>
      </c>
      <c r="O11" s="19">
        <f>Q10</f>
        <v>0</v>
      </c>
      <c r="P11" s="20">
        <f t="shared" ref="P11:P12" si="3">MIN(MAX(0,N11)*$B$5,MAX(0,$B$4-O11))</f>
        <v>0</v>
      </c>
      <c r="Q11" s="20">
        <f>O11+P11</f>
        <v>0</v>
      </c>
      <c r="R11" s="21">
        <f>N11-P11</f>
        <v>0</v>
      </c>
      <c r="S11" s="25">
        <f t="shared" ref="S11:S18" si="4">R11</f>
        <v>0</v>
      </c>
      <c r="T11" s="8">
        <f t="shared" ref="T11:T12" si="5">D11-E11-H11-L11-P11-R11</f>
        <v>0</v>
      </c>
    </row>
    <row r="12" spans="1:21" x14ac:dyDescent="0.25">
      <c r="A12" s="1" t="s">
        <v>18</v>
      </c>
      <c r="B12" s="22">
        <v>4000</v>
      </c>
      <c r="C12" s="23">
        <v>100</v>
      </c>
      <c r="D12" s="24">
        <f t="shared" si="0"/>
        <v>3900</v>
      </c>
      <c r="E12" s="19">
        <f>D12*$B$1</f>
        <v>975</v>
      </c>
      <c r="F12" s="24">
        <f t="shared" si="1"/>
        <v>2925</v>
      </c>
      <c r="G12" s="19">
        <f t="shared" ref="G12" si="6">I11</f>
        <v>1237.5</v>
      </c>
      <c r="H12" s="20">
        <f>MIN(F12,MAX(0,$B$2-G12))</f>
        <v>1262.5</v>
      </c>
      <c r="I12" s="20">
        <f t="shared" ref="I12" si="7">H12+I11</f>
        <v>2500</v>
      </c>
      <c r="J12" s="21">
        <f>F12-H12</f>
        <v>1662.5</v>
      </c>
      <c r="K12" s="19">
        <f>M11</f>
        <v>0</v>
      </c>
      <c r="L12" s="20">
        <f t="shared" si="2"/>
        <v>500</v>
      </c>
      <c r="M12" s="20">
        <f>K12+L12</f>
        <v>500</v>
      </c>
      <c r="N12" s="21">
        <f>J12-L12</f>
        <v>1162.5</v>
      </c>
      <c r="O12" s="19">
        <f>Q11</f>
        <v>0</v>
      </c>
      <c r="P12" s="20">
        <f t="shared" si="3"/>
        <v>697.5</v>
      </c>
      <c r="Q12" s="20">
        <f>O12+P12</f>
        <v>697.5</v>
      </c>
      <c r="R12" s="21">
        <f>N12-P12</f>
        <v>465</v>
      </c>
      <c r="S12" s="25">
        <f t="shared" si="4"/>
        <v>465</v>
      </c>
      <c r="T12" s="8">
        <f t="shared" si="5"/>
        <v>0</v>
      </c>
    </row>
    <row r="13" spans="1:21" x14ac:dyDescent="0.25">
      <c r="A13" s="1" t="s">
        <v>19</v>
      </c>
      <c r="B13" s="22">
        <v>1000</v>
      </c>
      <c r="C13" s="23">
        <v>50</v>
      </c>
      <c r="D13" s="24">
        <f t="shared" ref="D13:D18" si="8">B13-C13</f>
        <v>950</v>
      </c>
      <c r="E13" s="19">
        <f t="shared" ref="E13:E18" si="9">D13*$B$1</f>
        <v>237.5</v>
      </c>
      <c r="F13" s="24">
        <f t="shared" ref="F13:F18" si="10">D13-E13</f>
        <v>712.5</v>
      </c>
      <c r="G13" s="19">
        <f t="shared" ref="G13:G18" si="11">I12</f>
        <v>2500</v>
      </c>
      <c r="H13" s="20">
        <f t="shared" ref="H13:H18" si="12">MIN(F13,MAX(0,$B$2-G13))</f>
        <v>0</v>
      </c>
      <c r="I13" s="20">
        <f t="shared" ref="I13:I18" si="13">H13+I12</f>
        <v>2500</v>
      </c>
      <c r="J13" s="21">
        <f t="shared" ref="J13:J18" si="14">F13-H13</f>
        <v>712.5</v>
      </c>
      <c r="K13" s="19">
        <f t="shared" ref="K13:K18" si="15">M12</f>
        <v>500</v>
      </c>
      <c r="L13" s="20">
        <f t="shared" ref="L13:L18" si="16">MIN(MAX(0,J13)*$B$5,MAX(0,$B$3-K13))</f>
        <v>0</v>
      </c>
      <c r="M13" s="20">
        <f t="shared" ref="M13:M18" si="17">K13+L13</f>
        <v>500</v>
      </c>
      <c r="N13" s="21">
        <f t="shared" ref="N13:N18" si="18">J13-L13</f>
        <v>712.5</v>
      </c>
      <c r="O13" s="19">
        <f t="shared" ref="O13:O18" si="19">Q12</f>
        <v>697.5</v>
      </c>
      <c r="P13" s="20">
        <f t="shared" ref="P13:P18" si="20">MIN(MAX(0,N13)*$B$5,MAX(0,$B$4-O13))</f>
        <v>52.5</v>
      </c>
      <c r="Q13" s="20">
        <f t="shared" ref="Q13:Q18" si="21">O13+P13</f>
        <v>750</v>
      </c>
      <c r="R13" s="21">
        <f t="shared" ref="R13:R18" si="22">N13-P13</f>
        <v>660</v>
      </c>
      <c r="S13" s="25">
        <f t="shared" si="4"/>
        <v>660</v>
      </c>
      <c r="T13" s="8">
        <f t="shared" ref="T13:T18" si="23">D13-E13-H13-L13-P13-R13</f>
        <v>0</v>
      </c>
    </row>
    <row r="14" spans="1:21" x14ac:dyDescent="0.25">
      <c r="A14" s="1" t="s">
        <v>20</v>
      </c>
      <c r="B14" s="22">
        <v>1000</v>
      </c>
      <c r="C14" s="23">
        <v>0</v>
      </c>
      <c r="D14" s="24">
        <f t="shared" si="8"/>
        <v>1000</v>
      </c>
      <c r="E14" s="19">
        <f t="shared" si="9"/>
        <v>250</v>
      </c>
      <c r="F14" s="24">
        <f t="shared" si="10"/>
        <v>750</v>
      </c>
      <c r="G14" s="19">
        <f t="shared" si="11"/>
        <v>2500</v>
      </c>
      <c r="H14" s="20">
        <f t="shared" si="12"/>
        <v>0</v>
      </c>
      <c r="I14" s="20">
        <f t="shared" si="13"/>
        <v>2500</v>
      </c>
      <c r="J14" s="21">
        <f t="shared" si="14"/>
        <v>750</v>
      </c>
      <c r="K14" s="19">
        <f t="shared" si="15"/>
        <v>500</v>
      </c>
      <c r="L14" s="20">
        <f t="shared" si="16"/>
        <v>0</v>
      </c>
      <c r="M14" s="20">
        <f t="shared" si="17"/>
        <v>500</v>
      </c>
      <c r="N14" s="21">
        <f t="shared" si="18"/>
        <v>750</v>
      </c>
      <c r="O14" s="19">
        <f t="shared" si="19"/>
        <v>750</v>
      </c>
      <c r="P14" s="20">
        <f t="shared" si="20"/>
        <v>0</v>
      </c>
      <c r="Q14" s="20">
        <f t="shared" si="21"/>
        <v>750</v>
      </c>
      <c r="R14" s="21">
        <f t="shared" si="22"/>
        <v>750</v>
      </c>
      <c r="S14" s="25">
        <f t="shared" si="4"/>
        <v>750</v>
      </c>
      <c r="T14" s="8">
        <f t="shared" si="23"/>
        <v>0</v>
      </c>
    </row>
    <row r="15" spans="1:21" x14ac:dyDescent="0.25">
      <c r="A15" s="1" t="s">
        <v>21</v>
      </c>
      <c r="B15" s="22">
        <v>500</v>
      </c>
      <c r="C15" s="23">
        <v>0</v>
      </c>
      <c r="D15" s="24">
        <f t="shared" si="8"/>
        <v>500</v>
      </c>
      <c r="E15" s="19">
        <f t="shared" si="9"/>
        <v>125</v>
      </c>
      <c r="F15" s="24">
        <f t="shared" si="10"/>
        <v>375</v>
      </c>
      <c r="G15" s="19">
        <f t="shared" si="11"/>
        <v>2500</v>
      </c>
      <c r="H15" s="20">
        <f t="shared" si="12"/>
        <v>0</v>
      </c>
      <c r="I15" s="20">
        <f t="shared" si="13"/>
        <v>2500</v>
      </c>
      <c r="J15" s="21">
        <f t="shared" si="14"/>
        <v>375</v>
      </c>
      <c r="K15" s="19">
        <f t="shared" si="15"/>
        <v>500</v>
      </c>
      <c r="L15" s="20">
        <f t="shared" si="16"/>
        <v>0</v>
      </c>
      <c r="M15" s="20">
        <f t="shared" si="17"/>
        <v>500</v>
      </c>
      <c r="N15" s="21">
        <f t="shared" si="18"/>
        <v>375</v>
      </c>
      <c r="O15" s="19">
        <f t="shared" si="19"/>
        <v>750</v>
      </c>
      <c r="P15" s="20">
        <f t="shared" si="20"/>
        <v>0</v>
      </c>
      <c r="Q15" s="20">
        <f t="shared" si="21"/>
        <v>750</v>
      </c>
      <c r="R15" s="21">
        <f t="shared" si="22"/>
        <v>375</v>
      </c>
      <c r="S15" s="25">
        <f t="shared" si="4"/>
        <v>375</v>
      </c>
      <c r="T15" s="8">
        <f t="shared" si="23"/>
        <v>0</v>
      </c>
    </row>
    <row r="16" spans="1:21" x14ac:dyDescent="0.25">
      <c r="A16" s="1" t="s">
        <v>22</v>
      </c>
      <c r="B16" s="22">
        <v>200</v>
      </c>
      <c r="C16" s="23">
        <v>0</v>
      </c>
      <c r="D16" s="24">
        <f t="shared" si="8"/>
        <v>200</v>
      </c>
      <c r="E16" s="19">
        <f t="shared" si="9"/>
        <v>50</v>
      </c>
      <c r="F16" s="24">
        <f t="shared" si="10"/>
        <v>150</v>
      </c>
      <c r="G16" s="19">
        <f t="shared" si="11"/>
        <v>2500</v>
      </c>
      <c r="H16" s="20">
        <f t="shared" si="12"/>
        <v>0</v>
      </c>
      <c r="I16" s="20">
        <f t="shared" si="13"/>
        <v>2500</v>
      </c>
      <c r="J16" s="21">
        <f t="shared" si="14"/>
        <v>150</v>
      </c>
      <c r="K16" s="19">
        <f t="shared" si="15"/>
        <v>500</v>
      </c>
      <c r="L16" s="20">
        <f t="shared" si="16"/>
        <v>0</v>
      </c>
      <c r="M16" s="20">
        <f t="shared" si="17"/>
        <v>500</v>
      </c>
      <c r="N16" s="21">
        <f t="shared" si="18"/>
        <v>150</v>
      </c>
      <c r="O16" s="19">
        <f t="shared" si="19"/>
        <v>750</v>
      </c>
      <c r="P16" s="20">
        <f t="shared" si="20"/>
        <v>0</v>
      </c>
      <c r="Q16" s="20">
        <f t="shared" si="21"/>
        <v>750</v>
      </c>
      <c r="R16" s="21">
        <f t="shared" si="22"/>
        <v>150</v>
      </c>
      <c r="S16" s="25">
        <f t="shared" si="4"/>
        <v>150</v>
      </c>
      <c r="T16" s="8">
        <f t="shared" si="23"/>
        <v>0</v>
      </c>
    </row>
    <row r="17" spans="1:20" x14ac:dyDescent="0.25">
      <c r="A17" s="1" t="s">
        <v>23</v>
      </c>
      <c r="B17" s="22"/>
      <c r="C17" s="23"/>
      <c r="D17" s="24">
        <f t="shared" si="8"/>
        <v>0</v>
      </c>
      <c r="E17" s="19">
        <f t="shared" si="9"/>
        <v>0</v>
      </c>
      <c r="F17" s="24">
        <f t="shared" si="10"/>
        <v>0</v>
      </c>
      <c r="G17" s="19">
        <f t="shared" si="11"/>
        <v>2500</v>
      </c>
      <c r="H17" s="20">
        <f t="shared" si="12"/>
        <v>0</v>
      </c>
      <c r="I17" s="20">
        <f t="shared" si="13"/>
        <v>2500</v>
      </c>
      <c r="J17" s="21">
        <f t="shared" si="14"/>
        <v>0</v>
      </c>
      <c r="K17" s="19">
        <f t="shared" si="15"/>
        <v>500</v>
      </c>
      <c r="L17" s="20">
        <f t="shared" si="16"/>
        <v>0</v>
      </c>
      <c r="M17" s="20">
        <f t="shared" si="17"/>
        <v>500</v>
      </c>
      <c r="N17" s="21">
        <f t="shared" si="18"/>
        <v>0</v>
      </c>
      <c r="O17" s="19">
        <f t="shared" si="19"/>
        <v>750</v>
      </c>
      <c r="P17" s="20">
        <f t="shared" si="20"/>
        <v>0</v>
      </c>
      <c r="Q17" s="20">
        <f t="shared" si="21"/>
        <v>750</v>
      </c>
      <c r="R17" s="21">
        <f t="shared" si="22"/>
        <v>0</v>
      </c>
      <c r="S17" s="25">
        <f t="shared" si="4"/>
        <v>0</v>
      </c>
      <c r="T17" s="8">
        <f t="shared" si="23"/>
        <v>0</v>
      </c>
    </row>
    <row r="18" spans="1:20" x14ac:dyDescent="0.25">
      <c r="A18" s="1" t="s">
        <v>24</v>
      </c>
      <c r="B18" s="22"/>
      <c r="C18" s="23"/>
      <c r="D18" s="24">
        <f t="shared" si="8"/>
        <v>0</v>
      </c>
      <c r="E18" s="19">
        <f t="shared" si="9"/>
        <v>0</v>
      </c>
      <c r="F18" s="24">
        <f t="shared" si="10"/>
        <v>0</v>
      </c>
      <c r="G18" s="19">
        <f t="shared" si="11"/>
        <v>2500</v>
      </c>
      <c r="H18" s="20">
        <f t="shared" si="12"/>
        <v>0</v>
      </c>
      <c r="I18" s="20">
        <f t="shared" si="13"/>
        <v>2500</v>
      </c>
      <c r="J18" s="21">
        <f t="shared" si="14"/>
        <v>0</v>
      </c>
      <c r="K18" s="19">
        <f t="shared" si="15"/>
        <v>500</v>
      </c>
      <c r="L18" s="20">
        <f t="shared" si="16"/>
        <v>0</v>
      </c>
      <c r="M18" s="20">
        <f t="shared" si="17"/>
        <v>500</v>
      </c>
      <c r="N18" s="21">
        <f t="shared" si="18"/>
        <v>0</v>
      </c>
      <c r="O18" s="19">
        <f t="shared" si="19"/>
        <v>750</v>
      </c>
      <c r="P18" s="20">
        <f t="shared" si="20"/>
        <v>0</v>
      </c>
      <c r="Q18" s="20">
        <f t="shared" si="21"/>
        <v>750</v>
      </c>
      <c r="R18" s="21">
        <f t="shared" si="22"/>
        <v>0</v>
      </c>
      <c r="S18" s="25">
        <f t="shared" si="4"/>
        <v>0</v>
      </c>
      <c r="T18" s="8">
        <f t="shared" si="23"/>
        <v>0</v>
      </c>
    </row>
  </sheetData>
  <mergeCells count="4">
    <mergeCell ref="G7:J7"/>
    <mergeCell ref="K7:N7"/>
    <mergeCell ref="O7:R7"/>
    <mergeCell ref="C5:E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Goal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Winnie Cacuci</dc:creator>
  <cp:lastModifiedBy>Winnie Cacuci</cp:lastModifiedBy>
  <dcterms:created xsi:type="dcterms:W3CDTF">2026-09-07T04:09:36Z</dcterms:created>
  <dcterms:modified xsi:type="dcterms:W3CDTF">2026-09-07T05:06:30Z</dcterms:modified>
</cp:coreProperties>
</file>